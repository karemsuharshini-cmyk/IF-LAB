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 activeTab="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98" i="1"/>
  <c r="G99"/>
  <c r="G100"/>
  <c r="G101"/>
  <c r="G102"/>
  <c r="G97"/>
  <c r="D104"/>
  <c r="D103"/>
  <c r="G74"/>
  <c r="G75"/>
  <c r="G76"/>
  <c r="G77"/>
  <c r="G78"/>
  <c r="G73"/>
  <c r="G86"/>
  <c r="G87"/>
  <c r="G88"/>
  <c r="G89"/>
  <c r="G90"/>
  <c r="G85"/>
  <c r="G62"/>
  <c r="G63"/>
  <c r="G64"/>
  <c r="G65"/>
  <c r="G66"/>
  <c r="G61"/>
  <c r="G51"/>
  <c r="G52"/>
  <c r="G53"/>
  <c r="G54"/>
  <c r="G55"/>
  <c r="G50"/>
  <c r="G39"/>
  <c r="G40"/>
  <c r="G41"/>
  <c r="G42"/>
  <c r="G43"/>
  <c r="G38"/>
  <c r="G27"/>
  <c r="G28"/>
  <c r="G29"/>
  <c r="G30"/>
  <c r="G31"/>
  <c r="G26"/>
  <c r="G15"/>
  <c r="G16"/>
  <c r="G17"/>
  <c r="G18"/>
  <c r="G19"/>
  <c r="G14"/>
</calcChain>
</file>

<file path=xl/sharedStrings.xml><?xml version="1.0" encoding="utf-8"?>
<sst xmlns="http://schemas.openxmlformats.org/spreadsheetml/2006/main" count="170" uniqueCount="32">
  <si>
    <t>Use the IF function to evaluate whether each product met its sales target.</t>
  </si>
  <si>
    <t>ProductID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</si>
  <si>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</si>
  <si>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</si>
  <si>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</si>
  <si>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</si>
  <si>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</si>
  <si>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</si>
  <si>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</si>
  <si>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</si>
  <si>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</si>
  <si>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</si>
  <si>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</si>
  <si>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</si>
  <si>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</si>
  <si>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</si>
  <si>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Use the IF function to determine if a product is eligible for a regional bonus.  Products in the "North" region with sales over 200 are eligible.</t>
  </si>
  <si>
    <t>Product met its sales target</t>
  </si>
  <si>
    <t>Eligible for regional bonus</t>
  </si>
  <si>
    <t>Use nested IF Functions to assign a commission rate based on sales. Sales&gt;=200 get a 10% commission, sales&gt;=150 get a 7% commission, and others get a 5% commission.</t>
  </si>
  <si>
    <t>Commission rate based on sales</t>
  </si>
  <si>
    <t>Use the IF function to calculate a bonus amount. If sales met or exceeded the target, the bonus is 10% of the sales; otherwise, it's 5%</t>
  </si>
  <si>
    <t>Bonus amount</t>
  </si>
  <si>
    <t>Use the IF function to categorize sales performance as "Excellent"(&gt;=200), "Good"(&gt;=150), or "Needs Improvement" (&lt;150).</t>
  </si>
  <si>
    <t>Sales Performance</t>
  </si>
  <si>
    <t>Use the IF function to assign a price tier based on the sales value."High" for sales&gt;200,"Medium" for sales between 100 and 200, and "Low" for sales&lt;100.</t>
  </si>
  <si>
    <t>Sales value</t>
  </si>
  <si>
    <t>Use the IF function to calculate the year-end bonus. If sales &gt;=150 and region is "North", the bonus is $500, otherwise, it's $300.</t>
  </si>
  <si>
    <t>Use the IF function to mark high performers. A product is a high performer if its sales are in the top 25% of all sales.</t>
  </si>
  <si>
    <t>High performers</t>
  </si>
  <si>
    <t>IF Statement Exercise Questions</t>
  </si>
  <si>
    <t>Year end bonus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</si>
</sst>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theme="7" tint="-0.499984740745262"/>
      <name val="Bungee Inline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/>
    <xf numFmtId="0" fontId="3" fillId="0" borderId="0" xfId="0" applyFont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0" fillId="3" borderId="1" xfId="0" applyFill="1" applyBorder="1" applyAlignment="1">
      <alignment horizontal="center"/>
    </xf>
    <xf numFmtId="14" fontId="0" fillId="0" borderId="0" xfId="0" applyNumberFormat="1"/>
    <xf numFmtId="0" fontId="5" fillId="3" borderId="0" xfId="0" applyFont="1" applyFill="1"/>
    <xf numFmtId="0" fontId="0" fillId="2" borderId="0" xfId="0" applyFill="1" applyAlignment="1"/>
    <xf numFmtId="0" fontId="0" fillId="3" borderId="3" xfId="0" applyFill="1" applyBorder="1" applyAlignment="1">
      <alignment horizontal="center"/>
    </xf>
    <xf numFmtId="0" fontId="0" fillId="3" borderId="3" xfId="0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opLeftCell="A94" workbookViewId="0">
      <selection activeCell="M12" sqref="M12"/>
    </sheetView>
  </sheetViews>
  <sheetFormatPr defaultRowHeight="15"/>
  <cols>
    <col min="1" max="1" width="3.140625" customWidth="1"/>
    <col min="2" max="2" width="9.7109375" customWidth="1"/>
    <col min="3" max="3" width="10.28515625" customWidth="1"/>
    <col min="6" max="6" width="11.42578125" customWidth="1"/>
    <col min="7" max="7" width="16.85546875" customWidth="1"/>
    <col min="10" max="10" width="9.5703125" customWidth="1"/>
  </cols>
  <sheetData>
    <row r="1" spans="1:10" ht="33.75" customHeight="1" thickBot="1">
      <c r="A1" s="15" t="s">
        <v>30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5.75" thickTop="1"/>
    <row r="3" spans="1:10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10">
      <c r="B4" s="1">
        <v>101</v>
      </c>
      <c r="C4" s="1" t="s">
        <v>6</v>
      </c>
      <c r="D4" s="1">
        <v>120</v>
      </c>
      <c r="E4" s="1">
        <v>150</v>
      </c>
      <c r="F4" s="1" t="s">
        <v>12</v>
      </c>
    </row>
    <row r="5" spans="1:10">
      <c r="B5" s="1">
        <v>102</v>
      </c>
      <c r="C5" s="1" t="s">
        <v>7</v>
      </c>
      <c r="D5" s="1">
        <v>150</v>
      </c>
      <c r="E5" s="1">
        <v>140</v>
      </c>
      <c r="F5" s="1" t="s">
        <v>13</v>
      </c>
    </row>
    <row r="6" spans="1:10">
      <c r="B6" s="1">
        <v>103</v>
      </c>
      <c r="C6" s="1" t="s">
        <v>8</v>
      </c>
      <c r="D6" s="1">
        <v>200</v>
      </c>
      <c r="E6" s="1">
        <v>200</v>
      </c>
      <c r="F6" s="1" t="s">
        <v>14</v>
      </c>
    </row>
    <row r="7" spans="1:10">
      <c r="B7" s="1">
        <v>104</v>
      </c>
      <c r="C7" s="1" t="s">
        <v>9</v>
      </c>
      <c r="D7" s="1">
        <v>90</v>
      </c>
      <c r="E7" s="1">
        <v>100</v>
      </c>
      <c r="F7" s="1" t="s">
        <v>15</v>
      </c>
    </row>
    <row r="8" spans="1:10">
      <c r="B8" s="1">
        <v>105</v>
      </c>
      <c r="C8" s="1" t="s">
        <v>10</v>
      </c>
      <c r="D8" s="1">
        <v>220</v>
      </c>
      <c r="E8" s="1">
        <v>210</v>
      </c>
      <c r="F8" s="1" t="s">
        <v>12</v>
      </c>
    </row>
    <row r="9" spans="1:10">
      <c r="B9" s="1">
        <v>106</v>
      </c>
      <c r="C9" s="1" t="s">
        <v>11</v>
      </c>
      <c r="D9" s="1">
        <v>130</v>
      </c>
      <c r="E9" s="1">
        <v>160</v>
      </c>
      <c r="F9" s="1" t="s">
        <v>13</v>
      </c>
    </row>
    <row r="11" spans="1:10" s="10" customFormat="1" ht="18.75">
      <c r="A11" s="8">
        <v>1</v>
      </c>
      <c r="B11" s="9" t="s">
        <v>0</v>
      </c>
      <c r="C11" s="9"/>
      <c r="D11" s="9"/>
      <c r="E11" s="9"/>
      <c r="F11" s="9"/>
      <c r="G11" s="9"/>
      <c r="H11" s="9"/>
      <c r="I11" s="9"/>
      <c r="J11" s="9"/>
    </row>
    <row r="13" spans="1:10" ht="42" customHeight="1">
      <c r="B13" s="3" t="s">
        <v>1</v>
      </c>
      <c r="C13" s="3" t="s">
        <v>2</v>
      </c>
      <c r="D13" s="3" t="s">
        <v>3</v>
      </c>
      <c r="E13" s="3" t="s">
        <v>4</v>
      </c>
      <c r="F13" s="2" t="s">
        <v>5</v>
      </c>
      <c r="G13" s="5" t="s">
        <v>17</v>
      </c>
    </row>
    <row r="14" spans="1:10" ht="15.75">
      <c r="B14" s="4">
        <v>101</v>
      </c>
      <c r="C14" s="4" t="s">
        <v>6</v>
      </c>
      <c r="D14" s="4">
        <v>120</v>
      </c>
      <c r="E14" s="4">
        <v>150</v>
      </c>
      <c r="F14" s="1" t="s">
        <v>12</v>
      </c>
      <c r="G14" s="4" t="str">
        <f>IF(D14&gt;=E14,"YES","NO")</f>
        <v>NO</v>
      </c>
    </row>
    <row r="15" spans="1:10" ht="15.75">
      <c r="B15" s="4">
        <v>102</v>
      </c>
      <c r="C15" s="4" t="s">
        <v>7</v>
      </c>
      <c r="D15" s="4">
        <v>150</v>
      </c>
      <c r="E15" s="4">
        <v>140</v>
      </c>
      <c r="F15" s="1" t="s">
        <v>13</v>
      </c>
      <c r="G15" s="4" t="str">
        <f t="shared" ref="G15:G19" si="0">IF(D15&gt;=E15,"YES","NO")</f>
        <v>YES</v>
      </c>
    </row>
    <row r="16" spans="1:10" ht="15.75">
      <c r="B16" s="4">
        <v>103</v>
      </c>
      <c r="C16" s="4" t="s">
        <v>8</v>
      </c>
      <c r="D16" s="4">
        <v>200</v>
      </c>
      <c r="E16" s="4">
        <v>200</v>
      </c>
      <c r="F16" s="1" t="s">
        <v>14</v>
      </c>
      <c r="G16" s="4" t="str">
        <f t="shared" si="0"/>
        <v>YES</v>
      </c>
    </row>
    <row r="17" spans="1:10" ht="15.75">
      <c r="B17" s="4">
        <v>104</v>
      </c>
      <c r="C17" s="4" t="s">
        <v>9</v>
      </c>
      <c r="D17" s="4">
        <v>90</v>
      </c>
      <c r="E17" s="4">
        <v>100</v>
      </c>
      <c r="F17" s="1" t="s">
        <v>15</v>
      </c>
      <c r="G17" s="4" t="str">
        <f t="shared" si="0"/>
        <v>NO</v>
      </c>
    </row>
    <row r="18" spans="1:10" ht="15.75">
      <c r="B18" s="4">
        <v>105</v>
      </c>
      <c r="C18" s="4" t="s">
        <v>10</v>
      </c>
      <c r="D18" s="4">
        <v>220</v>
      </c>
      <c r="E18" s="4">
        <v>210</v>
      </c>
      <c r="F18" s="1" t="s">
        <v>12</v>
      </c>
      <c r="G18" s="4" t="str">
        <f t="shared" si="0"/>
        <v>YES</v>
      </c>
    </row>
    <row r="19" spans="1:10" ht="15.75">
      <c r="B19" s="4">
        <v>106</v>
      </c>
      <c r="C19" s="4" t="s">
        <v>11</v>
      </c>
      <c r="D19" s="4">
        <v>130</v>
      </c>
      <c r="E19" s="4">
        <v>160</v>
      </c>
      <c r="F19" s="1" t="s">
        <v>13</v>
      </c>
      <c r="G19" s="4" t="str">
        <f t="shared" si="0"/>
        <v>NO</v>
      </c>
    </row>
    <row r="22" spans="1:10" s="10" customFormat="1" ht="18.75" customHeight="1">
      <c r="A22" s="13">
        <v>2</v>
      </c>
      <c r="B22" s="12" t="s">
        <v>16</v>
      </c>
      <c r="C22" s="12"/>
      <c r="D22" s="12"/>
      <c r="E22" s="12"/>
      <c r="F22" s="12"/>
      <c r="G22" s="12"/>
      <c r="H22" s="12"/>
      <c r="I22" s="12"/>
      <c r="J22" s="12"/>
    </row>
    <row r="23" spans="1:10" s="10" customFormat="1" ht="18.75" customHeight="1">
      <c r="A23" s="13"/>
      <c r="B23" s="12"/>
      <c r="C23" s="12"/>
      <c r="D23" s="12"/>
      <c r="E23" s="12"/>
      <c r="F23" s="12"/>
      <c r="G23" s="12"/>
      <c r="H23" s="12"/>
      <c r="I23" s="12"/>
      <c r="J23" s="12"/>
    </row>
    <row r="25" spans="1:10" ht="36" customHeight="1"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5" t="s">
        <v>18</v>
      </c>
    </row>
    <row r="26" spans="1:10" ht="15.75">
      <c r="B26" s="4">
        <v>101</v>
      </c>
      <c r="C26" s="4" t="s">
        <v>6</v>
      </c>
      <c r="D26" s="4">
        <v>120</v>
      </c>
      <c r="E26" s="4">
        <v>150</v>
      </c>
      <c r="F26" s="4" t="s">
        <v>12</v>
      </c>
      <c r="G26" s="4" t="str">
        <f>IF(AND(F26="North", D26&gt;=200),"Eligible for Bonus","Not Eligible")</f>
        <v>Not Eligible</v>
      </c>
    </row>
    <row r="27" spans="1:10" ht="15.75">
      <c r="B27" s="4">
        <v>102</v>
      </c>
      <c r="C27" s="4" t="s">
        <v>7</v>
      </c>
      <c r="D27" s="4">
        <v>150</v>
      </c>
      <c r="E27" s="4">
        <v>140</v>
      </c>
      <c r="F27" s="4" t="s">
        <v>13</v>
      </c>
      <c r="G27" s="4" t="str">
        <f t="shared" ref="G27:G31" si="1">IF(AND(F27="North", D27&gt;=200),"Eligible for Bonus","Not Eligible")</f>
        <v>Not Eligible</v>
      </c>
    </row>
    <row r="28" spans="1:10" ht="15.75">
      <c r="B28" s="4">
        <v>103</v>
      </c>
      <c r="C28" s="4" t="s">
        <v>8</v>
      </c>
      <c r="D28" s="4">
        <v>200</v>
      </c>
      <c r="E28" s="4">
        <v>200</v>
      </c>
      <c r="F28" s="4" t="s">
        <v>14</v>
      </c>
      <c r="G28" s="4" t="str">
        <f t="shared" si="1"/>
        <v>Not Eligible</v>
      </c>
    </row>
    <row r="29" spans="1:10" ht="15.75">
      <c r="B29" s="4">
        <v>104</v>
      </c>
      <c r="C29" s="4" t="s">
        <v>9</v>
      </c>
      <c r="D29" s="4">
        <v>90</v>
      </c>
      <c r="E29" s="4">
        <v>100</v>
      </c>
      <c r="F29" s="4" t="s">
        <v>15</v>
      </c>
      <c r="G29" s="4" t="str">
        <f t="shared" si="1"/>
        <v>Not Eligible</v>
      </c>
    </row>
    <row r="30" spans="1:10" ht="15.75">
      <c r="B30" s="4">
        <v>105</v>
      </c>
      <c r="C30" s="4" t="s">
        <v>10</v>
      </c>
      <c r="D30" s="4">
        <v>220</v>
      </c>
      <c r="E30" s="4">
        <v>210</v>
      </c>
      <c r="F30" s="4" t="s">
        <v>12</v>
      </c>
      <c r="G30" s="4" t="str">
        <f t="shared" si="1"/>
        <v>Eligible for Bonus</v>
      </c>
    </row>
    <row r="31" spans="1:10" ht="15.75">
      <c r="B31" s="4">
        <v>106</v>
      </c>
      <c r="C31" s="4" t="s">
        <v>11</v>
      </c>
      <c r="D31" s="4">
        <v>130</v>
      </c>
      <c r="E31" s="4">
        <v>160</v>
      </c>
      <c r="F31" s="4" t="s">
        <v>13</v>
      </c>
      <c r="G31" s="4" t="str">
        <f t="shared" si="1"/>
        <v>Not Eligible</v>
      </c>
    </row>
    <row r="34" spans="1:10" s="10" customFormat="1" ht="18" customHeight="1">
      <c r="A34" s="13">
        <v>3</v>
      </c>
      <c r="B34" s="12" t="s">
        <v>19</v>
      </c>
      <c r="C34" s="12"/>
      <c r="D34" s="12"/>
      <c r="E34" s="12"/>
      <c r="F34" s="12"/>
      <c r="G34" s="12"/>
      <c r="H34" s="12"/>
      <c r="I34" s="12"/>
      <c r="J34" s="12"/>
    </row>
    <row r="35" spans="1:10" s="10" customFormat="1" ht="18" customHeight="1">
      <c r="A35" s="13"/>
      <c r="B35" s="12"/>
      <c r="C35" s="12"/>
      <c r="D35" s="12"/>
      <c r="E35" s="12"/>
      <c r="F35" s="12"/>
      <c r="G35" s="12"/>
      <c r="H35" s="12"/>
      <c r="I35" s="12"/>
      <c r="J35" s="12"/>
    </row>
    <row r="37" spans="1:10" ht="31.5">
      <c r="B37" s="3" t="s">
        <v>1</v>
      </c>
      <c r="C37" s="3" t="s">
        <v>2</v>
      </c>
      <c r="D37" s="3" t="s">
        <v>3</v>
      </c>
      <c r="E37" s="3" t="s">
        <v>4</v>
      </c>
      <c r="F37" s="3" t="s">
        <v>5</v>
      </c>
      <c r="G37" s="5" t="s">
        <v>20</v>
      </c>
    </row>
    <row r="38" spans="1:10" ht="15.75">
      <c r="B38" s="4">
        <v>101</v>
      </c>
      <c r="C38" s="4" t="s">
        <v>6</v>
      </c>
      <c r="D38" s="4">
        <v>120</v>
      </c>
      <c r="E38" s="4">
        <v>150</v>
      </c>
      <c r="F38" s="4" t="s">
        <v>12</v>
      </c>
      <c r="G38" s="4">
        <f>IF(D38&gt;=200,D38*10%,IF(D38&gt;=150,D38*7%,IF(D38&lt;150,D38*5%)))</f>
        <v>6</v>
      </c>
    </row>
    <row r="39" spans="1:10" ht="15.75">
      <c r="B39" s="4">
        <v>102</v>
      </c>
      <c r="C39" s="4" t="s">
        <v>7</v>
      </c>
      <c r="D39" s="4">
        <v>150</v>
      </c>
      <c r="E39" s="4">
        <v>140</v>
      </c>
      <c r="F39" s="4" t="s">
        <v>13</v>
      </c>
      <c r="G39" s="4">
        <f t="shared" ref="G39:G43" si="2">IF(D39&gt;=200,D39*10%,IF(D39&gt;=150,D39*7%,IF(D39&lt;150,D39*5%)))</f>
        <v>10.500000000000002</v>
      </c>
    </row>
    <row r="40" spans="1:10" ht="15.75">
      <c r="B40" s="4">
        <v>103</v>
      </c>
      <c r="C40" s="4" t="s">
        <v>8</v>
      </c>
      <c r="D40" s="4">
        <v>200</v>
      </c>
      <c r="E40" s="4">
        <v>200</v>
      </c>
      <c r="F40" s="4" t="s">
        <v>14</v>
      </c>
      <c r="G40" s="4">
        <f t="shared" si="2"/>
        <v>20</v>
      </c>
    </row>
    <row r="41" spans="1:10" ht="15.75">
      <c r="B41" s="4">
        <v>104</v>
      </c>
      <c r="C41" s="4" t="s">
        <v>9</v>
      </c>
      <c r="D41" s="4">
        <v>90</v>
      </c>
      <c r="E41" s="4">
        <v>100</v>
      </c>
      <c r="F41" s="4" t="s">
        <v>15</v>
      </c>
      <c r="G41" s="4">
        <f t="shared" si="2"/>
        <v>4.5</v>
      </c>
    </row>
    <row r="42" spans="1:10" ht="15.75">
      <c r="B42" s="4">
        <v>105</v>
      </c>
      <c r="C42" s="4" t="s">
        <v>10</v>
      </c>
      <c r="D42" s="4">
        <v>220</v>
      </c>
      <c r="E42" s="4">
        <v>210</v>
      </c>
      <c r="F42" s="4" t="s">
        <v>12</v>
      </c>
      <c r="G42" s="4">
        <f t="shared" si="2"/>
        <v>22</v>
      </c>
    </row>
    <row r="43" spans="1:10" ht="15.75">
      <c r="B43" s="4">
        <v>106</v>
      </c>
      <c r="C43" s="4" t="s">
        <v>11</v>
      </c>
      <c r="D43" s="4">
        <v>130</v>
      </c>
      <c r="E43" s="4">
        <v>160</v>
      </c>
      <c r="F43" s="4" t="s">
        <v>13</v>
      </c>
      <c r="G43" s="4">
        <f t="shared" si="2"/>
        <v>6.5</v>
      </c>
    </row>
    <row r="46" spans="1:10" s="10" customFormat="1" ht="16.5" customHeight="1">
      <c r="A46" s="13">
        <v>4</v>
      </c>
      <c r="B46" s="12" t="s">
        <v>21</v>
      </c>
      <c r="C46" s="12"/>
      <c r="D46" s="12"/>
      <c r="E46" s="12"/>
      <c r="F46" s="12"/>
      <c r="G46" s="12"/>
      <c r="H46" s="12"/>
      <c r="I46" s="12"/>
      <c r="J46" s="12"/>
    </row>
    <row r="47" spans="1:10" s="10" customFormat="1" ht="16.5" customHeight="1">
      <c r="A47" s="13"/>
      <c r="B47" s="12"/>
      <c r="C47" s="12"/>
      <c r="D47" s="12"/>
      <c r="E47" s="12"/>
      <c r="F47" s="12"/>
      <c r="G47" s="12"/>
      <c r="H47" s="12"/>
      <c r="I47" s="12"/>
      <c r="J47" s="12"/>
    </row>
    <row r="49" spans="1:10" ht="15.75">
      <c r="B49" s="3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3" t="s">
        <v>22</v>
      </c>
    </row>
    <row r="50" spans="1:10" ht="15.75">
      <c r="B50" s="4">
        <v>101</v>
      </c>
      <c r="C50" s="4" t="s">
        <v>6</v>
      </c>
      <c r="D50" s="4">
        <v>120</v>
      </c>
      <c r="E50" s="4">
        <v>150</v>
      </c>
      <c r="F50" s="4" t="s">
        <v>12</v>
      </c>
      <c r="G50" s="4">
        <f>IF(D50&gt;=E50,D50*10%,D50*5%)</f>
        <v>6</v>
      </c>
    </row>
    <row r="51" spans="1:10" ht="15.75">
      <c r="B51" s="4">
        <v>102</v>
      </c>
      <c r="C51" s="4" t="s">
        <v>7</v>
      </c>
      <c r="D51" s="4">
        <v>150</v>
      </c>
      <c r="E51" s="4">
        <v>140</v>
      </c>
      <c r="F51" s="4" t="s">
        <v>13</v>
      </c>
      <c r="G51" s="4">
        <f t="shared" ref="G51:G55" si="3">IF(D51&gt;=E51,D51*10%,D51*5%)</f>
        <v>15</v>
      </c>
    </row>
    <row r="52" spans="1:10" ht="15.75">
      <c r="B52" s="4">
        <v>103</v>
      </c>
      <c r="C52" s="4" t="s">
        <v>8</v>
      </c>
      <c r="D52" s="4">
        <v>200</v>
      </c>
      <c r="E52" s="4">
        <v>200</v>
      </c>
      <c r="F52" s="4" t="s">
        <v>14</v>
      </c>
      <c r="G52" s="4">
        <f t="shared" si="3"/>
        <v>20</v>
      </c>
    </row>
    <row r="53" spans="1:10" ht="15.75">
      <c r="B53" s="4">
        <v>104</v>
      </c>
      <c r="C53" s="4" t="s">
        <v>9</v>
      </c>
      <c r="D53" s="4">
        <v>90</v>
      </c>
      <c r="E53" s="4">
        <v>100</v>
      </c>
      <c r="F53" s="4" t="s">
        <v>15</v>
      </c>
      <c r="G53" s="4">
        <f t="shared" si="3"/>
        <v>4.5</v>
      </c>
    </row>
    <row r="54" spans="1:10" ht="15.75">
      <c r="B54" s="4">
        <v>105</v>
      </c>
      <c r="C54" s="4" t="s">
        <v>10</v>
      </c>
      <c r="D54" s="4">
        <v>220</v>
      </c>
      <c r="E54" s="4">
        <v>210</v>
      </c>
      <c r="F54" s="4" t="s">
        <v>12</v>
      </c>
      <c r="G54" s="4">
        <f t="shared" si="3"/>
        <v>22</v>
      </c>
    </row>
    <row r="55" spans="1:10" ht="15.75">
      <c r="B55" s="4">
        <v>106</v>
      </c>
      <c r="C55" s="4" t="s">
        <v>11</v>
      </c>
      <c r="D55" s="4">
        <v>130</v>
      </c>
      <c r="E55" s="4">
        <v>160</v>
      </c>
      <c r="F55" s="4" t="s">
        <v>13</v>
      </c>
      <c r="G55" s="4">
        <f t="shared" si="3"/>
        <v>6.5</v>
      </c>
    </row>
    <row r="58" spans="1:10" s="10" customFormat="1" ht="43.5" customHeight="1">
      <c r="A58" s="11">
        <v>5</v>
      </c>
      <c r="B58" s="12" t="s">
        <v>23</v>
      </c>
      <c r="C58" s="12"/>
      <c r="D58" s="12"/>
      <c r="E58" s="12"/>
      <c r="F58" s="12"/>
      <c r="G58" s="12"/>
      <c r="H58" s="12"/>
      <c r="I58" s="12"/>
      <c r="J58" s="12"/>
    </row>
    <row r="60" spans="1:10" ht="31.5">
      <c r="B60" s="3" t="s">
        <v>1</v>
      </c>
      <c r="C60" s="3" t="s">
        <v>2</v>
      </c>
      <c r="D60" s="3" t="s">
        <v>3</v>
      </c>
      <c r="E60" s="3" t="s">
        <v>4</v>
      </c>
      <c r="F60" s="3" t="s">
        <v>5</v>
      </c>
      <c r="G60" s="5" t="s">
        <v>24</v>
      </c>
    </row>
    <row r="61" spans="1:10" ht="15.75">
      <c r="B61" s="4">
        <v>101</v>
      </c>
      <c r="C61" s="4" t="s">
        <v>6</v>
      </c>
      <c r="D61" s="4">
        <v>120</v>
      </c>
      <c r="E61" s="4">
        <v>150</v>
      </c>
      <c r="F61" s="4" t="s">
        <v>12</v>
      </c>
      <c r="G61" s="4" t="str">
        <f>IF(D61&gt;=200,"Excellent", IF(D61&gt;=150,"Good", IF(D61&lt;150,"Improvement")))</f>
        <v>Improvement</v>
      </c>
    </row>
    <row r="62" spans="1:10" ht="15.75">
      <c r="B62" s="4">
        <v>102</v>
      </c>
      <c r="C62" s="4" t="s">
        <v>7</v>
      </c>
      <c r="D62" s="4">
        <v>150</v>
      </c>
      <c r="E62" s="4">
        <v>140</v>
      </c>
      <c r="F62" s="4" t="s">
        <v>13</v>
      </c>
      <c r="G62" s="4" t="str">
        <f t="shared" ref="G62:G66" si="4">IF(D62&gt;=200,"Excellent", IF(D62&gt;=150,"Good", IF(D62&lt;150,"Improvement")))</f>
        <v>Good</v>
      </c>
    </row>
    <row r="63" spans="1:10" ht="15.75">
      <c r="B63" s="4">
        <v>103</v>
      </c>
      <c r="C63" s="4" t="s">
        <v>8</v>
      </c>
      <c r="D63" s="4">
        <v>200</v>
      </c>
      <c r="E63" s="4">
        <v>200</v>
      </c>
      <c r="F63" s="4" t="s">
        <v>14</v>
      </c>
      <c r="G63" s="4" t="str">
        <f t="shared" si="4"/>
        <v>Excellent</v>
      </c>
    </row>
    <row r="64" spans="1:10" ht="15.75">
      <c r="B64" s="4">
        <v>104</v>
      </c>
      <c r="C64" s="4" t="s">
        <v>9</v>
      </c>
      <c r="D64" s="4">
        <v>90</v>
      </c>
      <c r="E64" s="4">
        <v>100</v>
      </c>
      <c r="F64" s="4" t="s">
        <v>15</v>
      </c>
      <c r="G64" s="4" t="str">
        <f t="shared" si="4"/>
        <v>Improvement</v>
      </c>
    </row>
    <row r="65" spans="1:10" ht="15.75">
      <c r="B65" s="4">
        <v>105</v>
      </c>
      <c r="C65" s="4" t="s">
        <v>10</v>
      </c>
      <c r="D65" s="4">
        <v>220</v>
      </c>
      <c r="E65" s="4">
        <v>210</v>
      </c>
      <c r="F65" s="4" t="s">
        <v>12</v>
      </c>
      <c r="G65" s="4" t="str">
        <f t="shared" si="4"/>
        <v>Excellent</v>
      </c>
    </row>
    <row r="66" spans="1:10" ht="15.75">
      <c r="B66" s="4">
        <v>106</v>
      </c>
      <c r="C66" s="4" t="s">
        <v>11</v>
      </c>
      <c r="D66" s="4">
        <v>130</v>
      </c>
      <c r="E66" s="4">
        <v>160</v>
      </c>
      <c r="F66" s="4" t="s">
        <v>13</v>
      </c>
      <c r="G66" s="4" t="str">
        <f t="shared" si="4"/>
        <v>Improvement</v>
      </c>
    </row>
    <row r="69" spans="1:10" s="10" customFormat="1" ht="21.75" customHeight="1">
      <c r="A69" s="13">
        <v>6</v>
      </c>
      <c r="B69" s="12" t="s">
        <v>25</v>
      </c>
      <c r="C69" s="12"/>
      <c r="D69" s="12"/>
      <c r="E69" s="12"/>
      <c r="F69" s="12"/>
      <c r="G69" s="12"/>
      <c r="H69" s="12"/>
      <c r="I69" s="12"/>
      <c r="J69" s="12"/>
    </row>
    <row r="70" spans="1:10" s="10" customFormat="1" ht="21.75" customHeight="1">
      <c r="A70" s="13"/>
      <c r="B70" s="12"/>
      <c r="C70" s="12"/>
      <c r="D70" s="12"/>
      <c r="E70" s="12"/>
      <c r="F70" s="12"/>
      <c r="G70" s="12"/>
      <c r="H70" s="12"/>
      <c r="I70" s="12"/>
      <c r="J70" s="12"/>
    </row>
    <row r="72" spans="1:10" ht="15.75">
      <c r="B72" s="3" t="s">
        <v>1</v>
      </c>
      <c r="C72" s="3" t="s">
        <v>2</v>
      </c>
      <c r="D72" s="3" t="s">
        <v>3</v>
      </c>
      <c r="E72" s="3" t="s">
        <v>4</v>
      </c>
      <c r="F72" s="3" t="s">
        <v>5</v>
      </c>
      <c r="G72" s="3" t="s">
        <v>26</v>
      </c>
    </row>
    <row r="73" spans="1:10" ht="15.75">
      <c r="B73" s="4">
        <v>101</v>
      </c>
      <c r="C73" s="4" t="s">
        <v>6</v>
      </c>
      <c r="D73" s="4">
        <v>120</v>
      </c>
      <c r="E73" s="4">
        <v>150</v>
      </c>
      <c r="F73" s="4" t="s">
        <v>12</v>
      </c>
      <c r="G73" s="1" t="str">
        <f>IF(AND(D73&gt;200),"High",IF(AND(D73&lt;200),"Medium",IF(AND(D73&lt;100),"Low")))</f>
        <v>Medium</v>
      </c>
    </row>
    <row r="74" spans="1:10" ht="15.75">
      <c r="B74" s="4">
        <v>102</v>
      </c>
      <c r="C74" s="4" t="s">
        <v>7</v>
      </c>
      <c r="D74" s="4">
        <v>150</v>
      </c>
      <c r="E74" s="4">
        <v>140</v>
      </c>
      <c r="F74" s="4" t="s">
        <v>13</v>
      </c>
      <c r="G74" s="1" t="str">
        <f t="shared" ref="G74:G78" si="5">IF(AND(D74&gt;200),"High",IF(AND(D74&lt;200),"Medium",IF(AND(D74&lt;100),"Low")))</f>
        <v>Medium</v>
      </c>
    </row>
    <row r="75" spans="1:10" ht="15.75">
      <c r="B75" s="4">
        <v>103</v>
      </c>
      <c r="C75" s="4" t="s">
        <v>8</v>
      </c>
      <c r="D75" s="4">
        <v>200</v>
      </c>
      <c r="E75" s="4">
        <v>200</v>
      </c>
      <c r="F75" s="4" t="s">
        <v>14</v>
      </c>
      <c r="G75" s="1" t="b">
        <f t="shared" si="5"/>
        <v>0</v>
      </c>
    </row>
    <row r="76" spans="1:10" ht="15.75">
      <c r="B76" s="4">
        <v>104</v>
      </c>
      <c r="C76" s="4" t="s">
        <v>9</v>
      </c>
      <c r="D76" s="4">
        <v>90</v>
      </c>
      <c r="E76" s="4">
        <v>100</v>
      </c>
      <c r="F76" s="4" t="s">
        <v>15</v>
      </c>
      <c r="G76" s="1" t="str">
        <f t="shared" si="5"/>
        <v>Medium</v>
      </c>
    </row>
    <row r="77" spans="1:10" ht="15.75">
      <c r="B77" s="4">
        <v>105</v>
      </c>
      <c r="C77" s="4" t="s">
        <v>10</v>
      </c>
      <c r="D77" s="4">
        <v>220</v>
      </c>
      <c r="E77" s="4">
        <v>210</v>
      </c>
      <c r="F77" s="4" t="s">
        <v>12</v>
      </c>
      <c r="G77" s="1" t="str">
        <f t="shared" si="5"/>
        <v>High</v>
      </c>
    </row>
    <row r="78" spans="1:10" ht="15.75">
      <c r="B78" s="4">
        <v>106</v>
      </c>
      <c r="C78" s="4" t="s">
        <v>11</v>
      </c>
      <c r="D78" s="4">
        <v>130</v>
      </c>
      <c r="E78" s="4">
        <v>160</v>
      </c>
      <c r="F78" s="4" t="s">
        <v>13</v>
      </c>
      <c r="G78" s="1" t="str">
        <f t="shared" si="5"/>
        <v>Medium</v>
      </c>
    </row>
    <row r="81" spans="1:10" s="10" customFormat="1" ht="18" customHeight="1">
      <c r="A81" s="13">
        <v>7</v>
      </c>
      <c r="B81" s="12" t="s">
        <v>27</v>
      </c>
      <c r="C81" s="12"/>
      <c r="D81" s="12"/>
      <c r="E81" s="12"/>
      <c r="F81" s="12"/>
      <c r="G81" s="12"/>
      <c r="H81" s="12"/>
      <c r="I81" s="12"/>
      <c r="J81" s="12"/>
    </row>
    <row r="82" spans="1:10" s="10" customFormat="1">
      <c r="A82" s="13"/>
      <c r="B82" s="12"/>
      <c r="C82" s="12"/>
      <c r="D82" s="12"/>
      <c r="E82" s="12"/>
      <c r="F82" s="12"/>
      <c r="G82" s="12"/>
      <c r="H82" s="12"/>
      <c r="I82" s="12"/>
      <c r="J82" s="12"/>
    </row>
    <row r="84" spans="1:10" ht="15.75">
      <c r="B84" s="3" t="s">
        <v>1</v>
      </c>
      <c r="C84" s="3" t="s">
        <v>2</v>
      </c>
      <c r="D84" s="3" t="s">
        <v>3</v>
      </c>
      <c r="E84" s="3" t="s">
        <v>4</v>
      </c>
      <c r="F84" s="3" t="s">
        <v>5</v>
      </c>
      <c r="G84" s="6" t="s">
        <v>31</v>
      </c>
    </row>
    <row r="85" spans="1:10" ht="15.75">
      <c r="B85" s="4">
        <v>101</v>
      </c>
      <c r="C85" s="4" t="s">
        <v>6</v>
      </c>
      <c r="D85" s="4">
        <v>120</v>
      </c>
      <c r="E85" s="4">
        <v>150</v>
      </c>
      <c r="F85" s="4" t="s">
        <v>12</v>
      </c>
      <c r="G85" s="7" t="str">
        <f>IF(AND(D85&gt;=150,F85="North"),"$500","$300")</f>
        <v>$300</v>
      </c>
    </row>
    <row r="86" spans="1:10" ht="15.75">
      <c r="B86" s="4">
        <v>102</v>
      </c>
      <c r="C86" s="4" t="s">
        <v>7</v>
      </c>
      <c r="D86" s="4">
        <v>150</v>
      </c>
      <c r="E86" s="4">
        <v>140</v>
      </c>
      <c r="F86" s="4" t="s">
        <v>13</v>
      </c>
      <c r="G86" s="7" t="str">
        <f t="shared" ref="G86:G90" si="6">IF(AND(D86&gt;=150,F86="North"),"$500","$300")</f>
        <v>$300</v>
      </c>
    </row>
    <row r="87" spans="1:10" ht="15.75">
      <c r="B87" s="4">
        <v>103</v>
      </c>
      <c r="C87" s="4" t="s">
        <v>8</v>
      </c>
      <c r="D87" s="4">
        <v>200</v>
      </c>
      <c r="E87" s="4">
        <v>200</v>
      </c>
      <c r="F87" s="4" t="s">
        <v>14</v>
      </c>
      <c r="G87" s="7" t="str">
        <f t="shared" si="6"/>
        <v>$300</v>
      </c>
    </row>
    <row r="88" spans="1:10" ht="15.75">
      <c r="B88" s="4">
        <v>104</v>
      </c>
      <c r="C88" s="4" t="s">
        <v>9</v>
      </c>
      <c r="D88" s="4">
        <v>90</v>
      </c>
      <c r="E88" s="4">
        <v>100</v>
      </c>
      <c r="F88" s="4" t="s">
        <v>15</v>
      </c>
      <c r="G88" s="7" t="str">
        <f t="shared" si="6"/>
        <v>$300</v>
      </c>
    </row>
    <row r="89" spans="1:10" ht="15.75">
      <c r="B89" s="4">
        <v>105</v>
      </c>
      <c r="C89" s="4" t="s">
        <v>10</v>
      </c>
      <c r="D89" s="4">
        <v>220</v>
      </c>
      <c r="E89" s="4">
        <v>210</v>
      </c>
      <c r="F89" s="4" t="s">
        <v>12</v>
      </c>
      <c r="G89" s="7" t="str">
        <f t="shared" si="6"/>
        <v>$500</v>
      </c>
    </row>
    <row r="90" spans="1:10" ht="15.75">
      <c r="B90" s="4">
        <v>106</v>
      </c>
      <c r="C90" s="4" t="s">
        <v>11</v>
      </c>
      <c r="D90" s="4">
        <v>130</v>
      </c>
      <c r="E90" s="4">
        <v>160</v>
      </c>
      <c r="F90" s="4" t="s">
        <v>13</v>
      </c>
      <c r="G90" s="7" t="str">
        <f t="shared" si="6"/>
        <v>$300</v>
      </c>
    </row>
    <row r="93" spans="1:10" s="10" customFormat="1" ht="22.5" customHeight="1">
      <c r="A93" s="14">
        <v>8</v>
      </c>
      <c r="B93" s="12" t="s">
        <v>28</v>
      </c>
      <c r="C93" s="12"/>
      <c r="D93" s="12"/>
      <c r="E93" s="12"/>
      <c r="F93" s="12"/>
      <c r="G93" s="12"/>
      <c r="H93" s="12"/>
      <c r="I93" s="12"/>
      <c r="J93" s="12"/>
    </row>
    <row r="94" spans="1:10" s="10" customFormat="1">
      <c r="A94" s="14"/>
      <c r="B94" s="12"/>
      <c r="C94" s="12"/>
      <c r="D94" s="12"/>
      <c r="E94" s="12"/>
      <c r="F94" s="12"/>
      <c r="G94" s="12"/>
      <c r="H94" s="12"/>
      <c r="I94" s="12"/>
      <c r="J94" s="12"/>
    </row>
    <row r="96" spans="1:10" ht="15.75">
      <c r="B96" s="3" t="s">
        <v>1</v>
      </c>
      <c r="C96" s="3" t="s">
        <v>2</v>
      </c>
      <c r="D96" s="3" t="s">
        <v>3</v>
      </c>
      <c r="E96" s="3" t="s">
        <v>4</v>
      </c>
      <c r="F96" s="3" t="s">
        <v>5</v>
      </c>
      <c r="G96" s="3" t="s">
        <v>29</v>
      </c>
    </row>
    <row r="97" spans="2:7" ht="15.75">
      <c r="B97" s="4">
        <v>101</v>
      </c>
      <c r="C97" s="4" t="s">
        <v>6</v>
      </c>
      <c r="D97" s="4">
        <v>120</v>
      </c>
      <c r="E97" s="4">
        <v>150</v>
      </c>
      <c r="F97" s="4" t="s">
        <v>12</v>
      </c>
      <c r="G97" s="1" t="b">
        <f>IF(D97&gt;220,"High performer")</f>
        <v>0</v>
      </c>
    </row>
    <row r="98" spans="2:7" ht="15.75">
      <c r="B98" s="4">
        <v>102</v>
      </c>
      <c r="C98" s="4" t="s">
        <v>7</v>
      </c>
      <c r="D98" s="4">
        <v>150</v>
      </c>
      <c r="E98" s="4">
        <v>140</v>
      </c>
      <c r="F98" s="4" t="s">
        <v>13</v>
      </c>
      <c r="G98" s="1" t="b">
        <f t="shared" ref="G98:G102" si="7">IF(D98&gt;200,"High performer")</f>
        <v>0</v>
      </c>
    </row>
    <row r="99" spans="2:7" ht="15.75">
      <c r="B99" s="4">
        <v>103</v>
      </c>
      <c r="C99" s="4" t="s">
        <v>8</v>
      </c>
      <c r="D99" s="4">
        <v>200</v>
      </c>
      <c r="E99" s="4">
        <v>200</v>
      </c>
      <c r="F99" s="4" t="s">
        <v>14</v>
      </c>
      <c r="G99" s="1" t="b">
        <f t="shared" si="7"/>
        <v>0</v>
      </c>
    </row>
    <row r="100" spans="2:7" ht="15.75">
      <c r="B100" s="4">
        <v>104</v>
      </c>
      <c r="C100" s="4" t="s">
        <v>9</v>
      </c>
      <c r="D100" s="4">
        <v>90</v>
      </c>
      <c r="E100" s="4">
        <v>100</v>
      </c>
      <c r="F100" s="4" t="s">
        <v>15</v>
      </c>
      <c r="G100" s="1" t="b">
        <f t="shared" si="7"/>
        <v>0</v>
      </c>
    </row>
    <row r="101" spans="2:7" ht="15.75">
      <c r="B101" s="4">
        <v>105</v>
      </c>
      <c r="C101" s="4" t="s">
        <v>10</v>
      </c>
      <c r="D101" s="4">
        <v>220</v>
      </c>
      <c r="E101" s="4">
        <v>210</v>
      </c>
      <c r="F101" s="4" t="s">
        <v>12</v>
      </c>
      <c r="G101" s="1" t="str">
        <f t="shared" si="7"/>
        <v>High performer</v>
      </c>
    </row>
    <row r="102" spans="2:7" ht="15.75">
      <c r="B102" s="4">
        <v>106</v>
      </c>
      <c r="C102" s="4" t="s">
        <v>11</v>
      </c>
      <c r="D102" s="4">
        <v>130</v>
      </c>
      <c r="E102" s="4">
        <v>160</v>
      </c>
      <c r="F102" s="4" t="s">
        <v>13</v>
      </c>
      <c r="G102" s="1" t="b">
        <f t="shared" si="7"/>
        <v>0</v>
      </c>
    </row>
    <row r="103" spans="2:7">
      <c r="D103">
        <f>SUM(D97:D102)</f>
        <v>910</v>
      </c>
    </row>
    <row r="104" spans="2:7">
      <c r="D104">
        <f>D103*25%</f>
        <v>227.5</v>
      </c>
    </row>
  </sheetData>
  <mergeCells count="14">
    <mergeCell ref="A1:J1"/>
    <mergeCell ref="B22:J23"/>
    <mergeCell ref="A22:A23"/>
    <mergeCell ref="B34:J35"/>
    <mergeCell ref="A34:A35"/>
    <mergeCell ref="B81:J82"/>
    <mergeCell ref="A81:A82"/>
    <mergeCell ref="B93:J94"/>
    <mergeCell ref="A93:A94"/>
    <mergeCell ref="B46:J47"/>
    <mergeCell ref="A46:A47"/>
    <mergeCell ref="B58:J58"/>
    <mergeCell ref="B69:J70"/>
    <mergeCell ref="A69:A70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M32"/>
  <sheetViews>
    <sheetView tabSelected="1" workbookViewId="0">
      <selection activeCell="I7" sqref="I7"/>
    </sheetView>
  </sheetViews>
  <sheetFormatPr defaultRowHeight="15"/>
  <cols>
    <col min="2" max="2" width="11.42578125" customWidth="1"/>
    <col min="4" max="4" width="16.140625" bestFit="1" customWidth="1"/>
    <col min="5" max="5" width="15" customWidth="1"/>
    <col min="6" max="6" width="15.5703125" customWidth="1"/>
    <col min="9" max="9" width="14.28515625" customWidth="1"/>
    <col min="10" max="10" width="11.7109375" customWidth="1"/>
    <col min="11" max="11" width="11.85546875" customWidth="1"/>
    <col min="12" max="12" width="9.7109375" bestFit="1" customWidth="1"/>
  </cols>
  <sheetData>
    <row r="2" spans="1:13" ht="75" customHeight="1">
      <c r="A2" s="18"/>
      <c r="B2" s="18"/>
      <c r="C2" s="18"/>
      <c r="D2" s="18"/>
      <c r="E2" s="23"/>
      <c r="F2" s="23"/>
      <c r="G2" s="22"/>
      <c r="H2" s="22"/>
      <c r="I2" s="24"/>
      <c r="J2" s="24"/>
      <c r="K2" s="24"/>
      <c r="L2" s="24"/>
      <c r="M2" s="24"/>
    </row>
    <row r="3" spans="1:13">
      <c r="A3" s="1"/>
      <c r="B3" s="1"/>
      <c r="C3" s="1"/>
      <c r="D3" s="1"/>
      <c r="E3" s="19"/>
      <c r="I3" s="19"/>
      <c r="J3" s="19"/>
      <c r="K3" s="19"/>
      <c r="L3" s="19"/>
    </row>
    <row r="4" spans="1:13">
      <c r="A4" s="1"/>
      <c r="B4" s="1"/>
      <c r="C4" s="1"/>
      <c r="D4" s="1"/>
      <c r="E4" s="19"/>
      <c r="I4" s="19"/>
      <c r="J4" s="19"/>
      <c r="K4" s="19"/>
      <c r="L4" s="19"/>
    </row>
    <row r="5" spans="1:13">
      <c r="A5" s="1"/>
      <c r="B5" s="1"/>
      <c r="C5" s="1"/>
      <c r="D5" s="1"/>
      <c r="E5" s="19"/>
      <c r="I5" s="19"/>
      <c r="J5" s="19"/>
      <c r="K5" s="19"/>
      <c r="L5" s="19"/>
    </row>
    <row r="6" spans="1:13">
      <c r="A6" s="1"/>
      <c r="B6" s="1"/>
      <c r="C6" s="1"/>
      <c r="D6" s="1"/>
      <c r="E6" s="19"/>
      <c r="I6" s="19"/>
      <c r="J6" s="19"/>
      <c r="K6" s="19"/>
      <c r="L6" s="19"/>
    </row>
    <row r="7" spans="1:13">
      <c r="A7" s="1"/>
      <c r="B7" s="1"/>
      <c r="C7" s="1"/>
      <c r="D7" s="1"/>
      <c r="E7" s="19"/>
      <c r="I7" s="19"/>
      <c r="J7" s="19"/>
      <c r="K7" s="19"/>
      <c r="L7" s="19"/>
    </row>
    <row r="10" spans="1:13" ht="15.75">
      <c r="A10" s="17"/>
      <c r="B10" s="17"/>
      <c r="C10" s="17"/>
      <c r="D10" s="17"/>
      <c r="E10" s="17"/>
    </row>
    <row r="12" spans="1:13">
      <c r="B12" s="19"/>
    </row>
    <row r="13" spans="1:13">
      <c r="B13" s="19"/>
    </row>
    <row r="14" spans="1:13">
      <c r="B14" s="19"/>
    </row>
    <row r="15" spans="1:13">
      <c r="B15" s="19"/>
    </row>
    <row r="16" spans="1:13">
      <c r="B16" s="19"/>
    </row>
    <row r="19" spans="1:5" ht="15.75">
      <c r="A19" s="16"/>
      <c r="B19" s="16"/>
      <c r="C19" s="16"/>
      <c r="D19" s="16"/>
      <c r="E19" s="16"/>
    </row>
    <row r="21" spans="1:5">
      <c r="B21" s="1"/>
      <c r="C21" s="1"/>
      <c r="D21" s="1"/>
    </row>
    <row r="22" spans="1:5">
      <c r="B22" s="1"/>
      <c r="C22" s="1"/>
      <c r="D22" s="1"/>
    </row>
    <row r="23" spans="1:5">
      <c r="B23" s="1"/>
      <c r="C23" s="1"/>
      <c r="D23" s="1"/>
    </row>
    <row r="24" spans="1:5">
      <c r="B24" s="1"/>
      <c r="C24" s="1"/>
      <c r="D24" s="1"/>
    </row>
    <row r="25" spans="1:5">
      <c r="B25" s="1"/>
      <c r="C25" s="1"/>
      <c r="D25" s="1"/>
    </row>
    <row r="26" spans="1:5">
      <c r="B26" s="1"/>
      <c r="C26" s="1"/>
      <c r="D26" s="1"/>
    </row>
    <row r="30" spans="1:5" ht="18.75">
      <c r="A30" s="20"/>
      <c r="B30" s="20"/>
      <c r="C30" s="20"/>
      <c r="D30" s="20"/>
      <c r="E30" s="20"/>
    </row>
    <row r="32" spans="1:5">
      <c r="A32" s="21"/>
      <c r="B32" s="21"/>
      <c r="C32" s="21"/>
      <c r="D32" s="21"/>
    </row>
  </sheetData>
  <mergeCells count="2">
    <mergeCell ref="A10:E10"/>
    <mergeCell ref="A19:E19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KAREM</dc:creator>
  <cp:lastModifiedBy>KAREM</cp:lastModifiedBy>
  <dcterms:created xsi:type="dcterms:W3CDTF">2025-11-08T03:46:19Z</dcterms:created>
  <dcterms:modified xsi:type="dcterms:W3CDTF">2025-11-11T10:35:53Z</dcterms:modified>
</cp:coreProperties>
</file>